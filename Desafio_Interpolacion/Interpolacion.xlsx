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CHO 5\Desktop\Desafio_Interpolacion\"/>
    </mc:Choice>
  </mc:AlternateContent>
  <xr:revisionPtr revIDLastSave="0" documentId="13_ncr:1_{B8D56BAD-1DCF-449E-BB45-D5B9ACB4EC67}" xr6:coauthVersionLast="47" xr6:coauthVersionMax="47" xr10:uidLastSave="{00000000-0000-0000-0000-000000000000}"/>
  <bookViews>
    <workbookView xWindow="-120" yWindow="-120" windowWidth="20730" windowHeight="11160" xr2:uid="{3E146B48-EDD1-43A1-83F3-BC16E0E56FFD}"/>
  </bookViews>
  <sheets>
    <sheet name="Hoja2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2" i="2" l="1"/>
  <c r="C20" i="2"/>
  <c r="D10" i="2"/>
  <c r="D9" i="2"/>
  <c r="E9" i="2" s="1"/>
  <c r="D8" i="2" l="1"/>
  <c r="E8" i="2" s="1"/>
  <c r="F8" i="2" s="1"/>
  <c r="D6" i="2"/>
  <c r="D5" i="2"/>
  <c r="E5" i="2" l="1"/>
  <c r="D7" i="2"/>
  <c r="E6" i="2" l="1"/>
  <c r="E7" i="2"/>
  <c r="F5" i="2"/>
  <c r="F7" i="2" l="1"/>
  <c r="F6" i="2"/>
  <c r="G5" i="2" s="1"/>
  <c r="G6" i="2" l="1"/>
  <c r="H5" i="2" s="1"/>
  <c r="G7" i="2"/>
  <c r="H6" i="2" l="1"/>
  <c r="I5" i="2" s="1"/>
</calcChain>
</file>

<file path=xl/sharedStrings.xml><?xml version="1.0" encoding="utf-8"?>
<sst xmlns="http://schemas.openxmlformats.org/spreadsheetml/2006/main" count="22" uniqueCount="21">
  <si>
    <t>x</t>
  </si>
  <si>
    <t>y</t>
  </si>
  <si>
    <t>#</t>
  </si>
  <si>
    <t>1er nivel</t>
  </si>
  <si>
    <t>2do. Nivel</t>
  </si>
  <si>
    <t>3er.nivel</t>
  </si>
  <si>
    <t>p(x)=</t>
  </si>
  <si>
    <t>f[x0]  + f[x0,x1] (x-x0) + f[x0,x1,x2] (x-x0) (x-x1) + f[x0,x1,x2,x3](x-x0)(x-x1)(x-x2)</t>
  </si>
  <si>
    <t>?</t>
  </si>
  <si>
    <t>4to. Nivel</t>
  </si>
  <si>
    <t>5to. Nivel</t>
  </si>
  <si>
    <t>P(x=11.942,84)=</t>
  </si>
  <si>
    <t>n=6</t>
  </si>
  <si>
    <t>La Paz</t>
  </si>
  <si>
    <t>La paz</t>
  </si>
  <si>
    <t>El Alto</t>
  </si>
  <si>
    <t>6to nivel</t>
  </si>
  <si>
    <t>P(x=13.616,15)=</t>
  </si>
  <si>
    <t>Error=</t>
  </si>
  <si>
    <t>-469.61</t>
  </si>
  <si>
    <t>-360.56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</si>
</sst>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0" borderId="2" xfId="0" applyBorder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7A4E6-4E82-45E2-9F2B-D624C6477E5F}">
  <dimension ref="A1:I26"/>
  <sheetViews>
    <sheetView tabSelected="1" topLeftCell="A10" zoomScaleNormal="100" workbookViewId="0">
      <selection activeCell="E26" sqref="E26"/>
    </sheetView>
  </sheetViews>
  <sheetFormatPr baseColWidth="10" defaultRowHeight="15" x14ac:dyDescent="0.25"/>
  <cols>
    <col min="3" max="3" width="12.7109375" bestFit="1" customWidth="1"/>
    <col min="5" max="8" width="12.7109375" bestFit="1" customWidth="1"/>
    <col min="9" max="9" width="12" bestFit="1" customWidth="1"/>
  </cols>
  <sheetData>
    <row r="1" spans="1:9" x14ac:dyDescent="0.25">
      <c r="D1" t="s">
        <v>13</v>
      </c>
    </row>
    <row r="2" spans="1:9" x14ac:dyDescent="0.25">
      <c r="E2" t="s">
        <v>12</v>
      </c>
    </row>
    <row r="4" spans="1:9" x14ac:dyDescent="0.25">
      <c r="A4" t="s">
        <v>2</v>
      </c>
      <c r="B4" s="2" t="s">
        <v>0</v>
      </c>
      <c r="C4" s="2" t="s">
        <v>1</v>
      </c>
      <c r="D4" s="2" t="s">
        <v>3</v>
      </c>
      <c r="E4" s="2" t="s">
        <v>4</v>
      </c>
      <c r="F4" s="2" t="s">
        <v>5</v>
      </c>
      <c r="G4" s="2" t="s">
        <v>9</v>
      </c>
      <c r="H4" s="2" t="s">
        <v>10</v>
      </c>
      <c r="I4" s="2" t="s">
        <v>16</v>
      </c>
    </row>
    <row r="5" spans="1:9" x14ac:dyDescent="0.25">
      <c r="A5">
        <v>0</v>
      </c>
      <c r="B5" s="1">
        <v>-1000</v>
      </c>
      <c r="C5" s="1">
        <v>213.9</v>
      </c>
      <c r="D5" s="3">
        <f t="shared" ref="D5:D10" si="0">+(C6-C5)/(B6-B5)</f>
        <v>-1.9000000000000056E-3</v>
      </c>
      <c r="E5" s="1">
        <f>+(D6-D5)/(B7-B5)</f>
        <v>-8.3333333333328488E-9</v>
      </c>
      <c r="F5" s="1">
        <f>+(E6-E5)/(B8-B5)</f>
        <v>-3.124904536311438E-27</v>
      </c>
      <c r="G5" s="1">
        <f>+(F6-F5)/(B9-B5)</f>
        <v>1.4384920634920553E-16</v>
      </c>
      <c r="H5" s="1">
        <f>+(G6-G5)/(B10-B5)</f>
        <v>-1.3527106633513939E-20</v>
      </c>
      <c r="I5" s="1">
        <f>(H6-H5)/(B11-B5)</f>
        <v>7.5975614818035936E-25</v>
      </c>
    </row>
    <row r="6" spans="1:9" x14ac:dyDescent="0.25">
      <c r="A6">
        <v>1</v>
      </c>
      <c r="B6" s="1">
        <v>0</v>
      </c>
      <c r="C6" s="1">
        <v>212</v>
      </c>
      <c r="D6" s="3">
        <f t="shared" si="0"/>
        <v>-1.933333333333337E-3</v>
      </c>
      <c r="E6" s="1">
        <f>+(D7-D6)/(B8-B6)</f>
        <v>-8.3333333333328769E-9</v>
      </c>
      <c r="F6" s="1">
        <f>+(E7-E6)/(B9-B6)</f>
        <v>2.301587301587285E-12</v>
      </c>
      <c r="G6" s="1">
        <f>+(F7-F6)/(B10-B6)</f>
        <v>-1.6727424622161509E-16</v>
      </c>
      <c r="H6" s="1">
        <f>+(G7-G6)/(B11-B6)</f>
        <v>8.5058216637164835E-21</v>
      </c>
    </row>
    <row r="7" spans="1:9" x14ac:dyDescent="0.25">
      <c r="A7">
        <v>2</v>
      </c>
      <c r="B7" s="1">
        <v>3000</v>
      </c>
      <c r="C7" s="1">
        <v>206.2</v>
      </c>
      <c r="D7" s="3">
        <f t="shared" si="0"/>
        <v>-2E-3</v>
      </c>
      <c r="E7" s="1">
        <f>+(D8-D7)/(B9-B7)</f>
        <v>2.6190476190476403E-8</v>
      </c>
      <c r="F7" s="1">
        <f>+(E8-E7)/(B10-B7)</f>
        <v>-1.3784461152882471E-12</v>
      </c>
      <c r="G7" s="1">
        <f>+(F8-F7)/(B11-B7)</f>
        <v>7.0888760362446487E-17</v>
      </c>
    </row>
    <row r="8" spans="1:9" x14ac:dyDescent="0.25">
      <c r="A8">
        <v>3</v>
      </c>
      <c r="B8" s="1">
        <v>8000</v>
      </c>
      <c r="C8" s="1">
        <v>196.2</v>
      </c>
      <c r="D8" s="3">
        <f t="shared" si="0"/>
        <v>-1.6857142857142832E-3</v>
      </c>
      <c r="E8" s="1">
        <f>+(D9-D8)/(B10-B8)</f>
        <v>-2.9428344681749405E-22</v>
      </c>
      <c r="F8" s="1">
        <f>+(E9-E8)/(B11-B8)</f>
        <v>3.9377289377291493E-13</v>
      </c>
    </row>
    <row r="9" spans="1:9" x14ac:dyDescent="0.25">
      <c r="A9">
        <v>4</v>
      </c>
      <c r="B9" s="1">
        <v>15000</v>
      </c>
      <c r="C9" s="1">
        <v>184.4</v>
      </c>
      <c r="D9" s="3">
        <f t="shared" si="0"/>
        <v>-1.6857142857142873E-3</v>
      </c>
      <c r="E9" s="1">
        <f>+(D10-D9)/(B11-B9)</f>
        <v>7.8754578754580043E-9</v>
      </c>
    </row>
    <row r="10" spans="1:9" x14ac:dyDescent="0.25">
      <c r="A10">
        <v>5</v>
      </c>
      <c r="B10" s="1">
        <v>22000</v>
      </c>
      <c r="C10" s="1">
        <v>172.6</v>
      </c>
      <c r="D10" s="3">
        <f t="shared" si="0"/>
        <v>-1.5833333333333333E-3</v>
      </c>
    </row>
    <row r="11" spans="1:9" x14ac:dyDescent="0.25">
      <c r="A11">
        <v>6</v>
      </c>
      <c r="B11" s="1">
        <v>28000</v>
      </c>
      <c r="C11" s="1">
        <v>163.1</v>
      </c>
    </row>
    <row r="12" spans="1:9" x14ac:dyDescent="0.25">
      <c r="B12" s="4">
        <v>11942.84</v>
      </c>
      <c r="C12" t="s">
        <v>8</v>
      </c>
    </row>
    <row r="13" spans="1:9" x14ac:dyDescent="0.25">
      <c r="B13" s="4">
        <v>13616.15</v>
      </c>
    </row>
    <row r="18" spans="1:3" x14ac:dyDescent="0.25">
      <c r="B18" t="s">
        <v>6</v>
      </c>
      <c r="C18" t="s">
        <v>7</v>
      </c>
    </row>
    <row r="20" spans="1:3" x14ac:dyDescent="0.25">
      <c r="A20" t="s">
        <v>14</v>
      </c>
      <c r="B20" t="s">
        <v>11</v>
      </c>
      <c r="C20">
        <f>+C5+D5*(B12-B5)+ E5*(B12-B5)*(B12-B6) +F5*(B12-B5)*(B12-B6)*(B12-B7)+G5*(B12-B5)*(B12-B6)*(B12-B7)*(B12-B8)+H5*(B12-B5)*(B12-B6)*(B12-B7)*(B12-B8)*(B12-B9)+I5*(B12-B5)*(B12-B6)*(B12-B7)*(B12-B8)*(B12-B9)*(B12-B10)</f>
        <v>189.15722221609431</v>
      </c>
    </row>
    <row r="22" spans="1:3" x14ac:dyDescent="0.25">
      <c r="A22" t="s">
        <v>15</v>
      </c>
      <c r="B22" t="s">
        <v>17</v>
      </c>
      <c r="C22">
        <f>+C5+D5*(B13-B5)+ E5*(B13-B5)*(B13-B6) +F5*(B13-B5)*(B13-B6)*(B13-B7)+G5*(B13-B5)*(B13-B6)*(B13-B7)*(B13-B8)+H5*(B13-B5)*(B13-B6)*(B13-B7)*(B13-B8)*(B13-B9)+I5*(B12-B5)*(B12-B6)*(B12-B7)*(B12-B8)*(B12-B9)*(B13-B10)</f>
        <v>186.50597568876364</v>
      </c>
    </row>
    <row r="24" spans="1:3" x14ac:dyDescent="0.25">
      <c r="B24" t="s">
        <v>18</v>
      </c>
      <c r="C24" t="s">
        <v>19</v>
      </c>
    </row>
    <row r="26" spans="1:3" x14ac:dyDescent="0.25">
      <c r="B26" t="s">
        <v>18</v>
      </c>
      <c r="C2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brigida carvajal</dc:creator>
  <cp:lastModifiedBy>calefhik@gmail.com</cp:lastModifiedBy>
  <dcterms:created xsi:type="dcterms:W3CDTF">2024-10-08T14:27:40Z</dcterms:created>
  <dcterms:modified xsi:type="dcterms:W3CDTF">2024-10-11T03:32:55Z</dcterms:modified>
</cp:coreProperties>
</file>